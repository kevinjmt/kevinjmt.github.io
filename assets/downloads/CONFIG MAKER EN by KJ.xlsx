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933" documentId="8_{6424AB06-F752-47B9-BCE5-9360DAAD03EC}" xr6:coauthVersionLast="47" xr6:coauthVersionMax="47" xr10:uidLastSave="{228E9659-551D-4514-AD01-03960FBA2CCE}"/>
  <bookViews>
    <workbookView xWindow="-110" yWindow="-110" windowWidth="25820" windowHeight="16220" xr2:uid="{8947F335-7243-4BC9-9D88-00188AB47FC0}"/>
  </bookViews>
  <sheets>
    <sheet name="CONFIG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I29" i="1" s="1"/>
  <c r="H28" i="1"/>
  <c r="I28" i="1" s="1"/>
  <c r="H9" i="1"/>
  <c r="H21" i="1"/>
  <c r="H20" i="1"/>
  <c r="H18" i="1"/>
  <c r="H16" i="1"/>
  <c r="H25" i="1"/>
  <c r="H26" i="1"/>
  <c r="H27" i="1"/>
  <c r="H4" i="1"/>
  <c r="H5" i="1"/>
  <c r="H6" i="1"/>
  <c r="H7" i="1"/>
  <c r="H8" i="1"/>
  <c r="H10" i="1"/>
  <c r="H11" i="1"/>
  <c r="H12" i="1"/>
  <c r="B35" i="1" l="1"/>
  <c r="B36" i="1" s="1"/>
  <c r="B34" i="1"/>
  <c r="B33" i="1"/>
  <c r="I26" i="1"/>
  <c r="I27" i="1"/>
  <c r="I25" i="1"/>
  <c r="C33" i="1" l="1"/>
</calcChain>
</file>

<file path=xl/sharedStrings.xml><?xml version="1.0" encoding="utf-8"?>
<sst xmlns="http://schemas.openxmlformats.org/spreadsheetml/2006/main" count="63" uniqueCount="47">
  <si>
    <t>Total</t>
  </si>
  <si>
    <t>Options</t>
  </si>
  <si>
    <t>TOTAL</t>
  </si>
  <si>
    <t>Idealo</t>
  </si>
  <si>
    <t>Stock</t>
  </si>
  <si>
    <t>BUDG.</t>
  </si>
  <si>
    <t>Setup</t>
  </si>
  <si>
    <t>SSD 2</t>
  </si>
  <si>
    <t>PC</t>
  </si>
  <si>
    <t>SETUP</t>
  </si>
  <si>
    <t>OPT</t>
  </si>
  <si>
    <t>OPT1</t>
  </si>
  <si>
    <t>OPT2</t>
  </si>
  <si>
    <t>OPT3</t>
  </si>
  <si>
    <t>RAM</t>
  </si>
  <si>
    <t>SSD</t>
  </si>
  <si>
    <t>CONFIG MAKER 2024.7.18</t>
  </si>
  <si>
    <t>by KJ</t>
  </si>
  <si>
    <t>https://kevinjmt.github.io/</t>
  </si>
  <si>
    <t>CONFIG MAKER v2024.7.18</t>
  </si>
  <si>
    <t>Reference</t>
  </si>
  <si>
    <t>Link</t>
  </si>
  <si>
    <t>Quantity</t>
  </si>
  <si>
    <t>Price</t>
  </si>
  <si>
    <t>Shipping</t>
  </si>
  <si>
    <t>Last Update</t>
  </si>
  <si>
    <t>Saves</t>
  </si>
  <si>
    <t>CPU</t>
  </si>
  <si>
    <t>Motherboard</t>
  </si>
  <si>
    <t>CPU Cooling</t>
  </si>
  <si>
    <t>GPU</t>
  </si>
  <si>
    <t>Case</t>
  </si>
  <si>
    <t>PSU</t>
  </si>
  <si>
    <t>Screen</t>
  </si>
  <si>
    <t>Screen 2</t>
  </si>
  <si>
    <t>Keyboard</t>
  </si>
  <si>
    <t>Mouse</t>
  </si>
  <si>
    <t>Headset</t>
  </si>
  <si>
    <t>Mousepad</t>
  </si>
  <si>
    <t>TOTALS</t>
  </si>
  <si>
    <t>Available</t>
  </si>
  <si>
    <t>Restocking</t>
  </si>
  <si>
    <t>Out of Stock</t>
  </si>
  <si>
    <t>Unknown</t>
  </si>
  <si>
    <t>Chart</t>
  </si>
  <si>
    <t>OPT4</t>
  </si>
  <si>
    <t>OPT5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</si>
</sst>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Red]\▲\ 0.00;[Green]\ \▼\ 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164" fontId="6" fillId="0" borderId="1" xfId="0" applyNumberFormat="1" applyFont="1" applyBorder="1"/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25" max="100" page="10" val="0"/>
</file>

<file path=xl/ctrlProps/ctrlProp3.xml><?xml version="1.0" encoding="utf-8"?>
<formControlPr xmlns="http://schemas.microsoft.com/office/spreadsheetml/2009/9/main" objectType="Spin" dx="31" fmlaLink="$E$26" max="100" page="10" val="0"/>
</file>

<file path=xl/ctrlProps/ctrlProp4.xml><?xml version="1.0" encoding="utf-8"?>
<formControlPr xmlns="http://schemas.microsoft.com/office/spreadsheetml/2009/9/main" objectType="Spin" dx="31" fmlaLink="$E$4" max="100" page="10" val="0"/>
</file>

<file path=xl/ctrlProps/ctrlProp5.xml><?xml version="1.0" encoding="utf-8"?>
<formControlPr xmlns="http://schemas.microsoft.com/office/spreadsheetml/2009/9/main" objectType="Spin" dx="31" fmlaLink="$E$5" max="100" page="10" val="0"/>
</file>

<file path=xl/ctrlProps/ctrlProp6.xml><?xml version="1.0" encoding="utf-8"?>
<formControlPr xmlns="http://schemas.microsoft.com/office/spreadsheetml/2009/9/main" objectType="Spin" dx="31" fmlaLink="$E$6" max="100" page="10" val="0"/>
</file>

<file path=xl/ctrlProps/ctrlProp7.xml><?xml version="1.0" encoding="utf-8"?>
<formControlPr xmlns="http://schemas.microsoft.com/office/spreadsheetml/2009/9/main" objectType="Spin" dx="31" fmlaLink="$E$7" max="100" page="10" val="0"/>
</file>

<file path=xl/ctrlProps/ctrlProp8.xml><?xml version="1.0" encoding="utf-8"?>
<formControlPr xmlns="http://schemas.microsoft.com/office/spreadsheetml/2009/9/main" objectType="Spin" dx="31" fmlaLink="$E$8" max="100" page="10" val="0"/>
</file>

<file path=xl/ctrlProps/ctrlProp9.xml><?xml version="1.0" encoding="utf-8"?>
<formControlPr xmlns="http://schemas.microsoft.com/office/spreadsheetml/2009/9/main" objectType="Spin" dx="31" fmlaLink="$E$10" max="100" page="10" val="0"/>
</file>

<file path=xl/ctrlProps/ctrlProp10.xml><?xml version="1.0" encoding="utf-8"?>
<formControlPr xmlns="http://schemas.microsoft.com/office/spreadsheetml/2009/9/main" objectType="Spin" dx="31" fmlaLink="$E$11" max="100" page="10" val="0"/>
</file>

<file path=xl/ctrlProps/ctrlProp11.xml><?xml version="1.0" encoding="utf-8"?>
<formControlPr xmlns="http://schemas.microsoft.com/office/spreadsheetml/2009/9/main" objectType="Spin" dx="31" fmlaLink="$E$12" max="100" page="10" val="0"/>
</file>

<file path=xl/ctrlProps/ctrlProp12.xml><?xml version="1.0" encoding="utf-8"?>
<formControlPr xmlns="http://schemas.microsoft.com/office/spreadsheetml/2009/9/main" objectType="Spin" dx="31" fmlaLink="$E$4" max="100" page="10" val="0"/>
</file>

<file path=xl/ctrlProps/ctrlProp13.xml><?xml version="1.0" encoding="utf-8"?>
<formControlPr xmlns="http://schemas.microsoft.com/office/spreadsheetml/2009/9/main" objectType="Spin" dx="31" fmlaLink="$E$5" max="100" page="10" val="0"/>
</file>

<file path=xl/ctrlProps/ctrlProp14.xml><?xml version="1.0" encoding="utf-8"?>
<formControlPr xmlns="http://schemas.microsoft.com/office/spreadsheetml/2009/9/main" objectType="Spin" dx="31" fmlaLink="$E$6" max="100" page="10" val="0"/>
</file>

<file path=xl/ctrlProps/ctrlProp15.xml><?xml version="1.0" encoding="utf-8"?>
<formControlPr xmlns="http://schemas.microsoft.com/office/spreadsheetml/2009/9/main" objectType="Spin" dx="31" fmlaLink="$E$7" max="100" page="10" val="0"/>
</file>

<file path=xl/ctrlProps/ctrlProp16.xml><?xml version="1.0" encoding="utf-8"?>
<formControlPr xmlns="http://schemas.microsoft.com/office/spreadsheetml/2009/9/main" objectType="Spin" dx="31" fmlaLink="$E$8" max="100" page="10" val="0"/>
</file>

<file path=xl/ctrlProps/ctrlProp17.xml><?xml version="1.0" encoding="utf-8"?>
<formControlPr xmlns="http://schemas.microsoft.com/office/spreadsheetml/2009/9/main" objectType="Spin" dx="31" fmlaLink="$E$9" max="100" page="10" val="0"/>
</file>

<file path=xl/ctrlProps/ctrlProp18.xml><?xml version="1.0" encoding="utf-8"?>
<formControlPr xmlns="http://schemas.microsoft.com/office/spreadsheetml/2009/9/main" objectType="Spin" dx="31" fmlaLink="$E$17" max="100" page="10" val="0"/>
</file>

<file path=xl/ctrlProps/ctrlProp19.xml><?xml version="1.0" encoding="utf-8"?>
<formControlPr xmlns="http://schemas.microsoft.com/office/spreadsheetml/2009/9/main" objectType="Spin" dx="31" fmlaLink="$E$27" max="100" page="10" val="0"/>
</file>

<file path=xl/ctrlProps/ctrlProp20.xml><?xml version="1.0" encoding="utf-8"?>
<formControlPr xmlns="http://schemas.microsoft.com/office/spreadsheetml/2009/9/main" objectType="Spin" dx="31" fmlaLink="$E$28" max="100" page="10" val="0"/>
</file>

<file path=xl/ctrlProps/ctrlProp21.xml><?xml version="1.0" encoding="utf-8"?>
<formControlPr xmlns="http://schemas.microsoft.com/office/spreadsheetml/2009/9/main" objectType="Spin" dx="31" fmlaLink="$E$29" max="100" page="10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24</xdr:row>
          <xdr:rowOff>12700</xdr:rowOff>
        </xdr:from>
        <xdr:to>
          <xdr:col>4</xdr:col>
          <xdr:colOff>184150</xdr:colOff>
          <xdr:row>25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15</xdr:row>
      <xdr:rowOff>6350</xdr:rowOff>
    </xdr:from>
    <xdr:to>
      <xdr:col>4</xdr:col>
      <xdr:colOff>184150</xdr:colOff>
      <xdr:row>15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17</xdr:row>
      <xdr:rowOff>6350</xdr:rowOff>
    </xdr:from>
    <xdr:to>
      <xdr:col>4</xdr:col>
      <xdr:colOff>184150</xdr:colOff>
      <xdr:row>17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15</xdr:row>
          <xdr:rowOff>12700</xdr:rowOff>
        </xdr:from>
        <xdr:to>
          <xdr:col>4</xdr:col>
          <xdr:colOff>184150</xdr:colOff>
          <xdr:row>16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12700</xdr:rowOff>
        </xdr:from>
        <xdr:to>
          <xdr:col>4</xdr:col>
          <xdr:colOff>184150</xdr:colOff>
          <xdr:row>19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19050</xdr:rowOff>
        </xdr:from>
        <xdr:to>
          <xdr:col>4</xdr:col>
          <xdr:colOff>184150</xdr:colOff>
          <xdr:row>17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60A94078-977C-4D13-8E33-33D0907118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CEDAAB99-9B56-4EC1-8CAA-0AB9DD78F3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0"/>
  <sheetViews>
    <sheetView tabSelected="1" topLeftCell="A15" zoomScale="145" zoomScaleNormal="145" workbookViewId="0">
      <selection activeCell="H28" sqref="H28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24" t="s">
        <v>16</v>
      </c>
      <c r="B1" s="25"/>
      <c r="C1" s="25"/>
      <c r="D1" s="25"/>
      <c r="E1" s="25"/>
      <c r="F1" s="25"/>
      <c r="G1" s="25"/>
      <c r="H1" s="25"/>
    </row>
    <row r="2" spans="1:10" ht="24" customHeight="1" x14ac:dyDescent="0.35">
      <c r="A2" s="26" t="s">
        <v>25</v>
      </c>
      <c r="B2" s="27"/>
      <c r="C2" s="28">
        <v>45491</v>
      </c>
      <c r="D2" s="29"/>
      <c r="E2" s="29"/>
      <c r="F2" s="29"/>
      <c r="G2" s="29"/>
      <c r="H2" s="30"/>
    </row>
    <row r="3" spans="1:10" x14ac:dyDescent="0.35">
      <c r="A3" s="1" t="s">
        <v>4</v>
      </c>
      <c r="B3" s="2" t="s">
        <v>20</v>
      </c>
      <c r="C3" s="1" t="s">
        <v>3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0</v>
      </c>
      <c r="J3" s="11"/>
    </row>
    <row r="4" spans="1:10" x14ac:dyDescent="0.35">
      <c r="A4" s="13"/>
      <c r="B4" s="16" t="s">
        <v>27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28</v>
      </c>
      <c r="C5" s="17"/>
      <c r="D5" s="17"/>
      <c r="E5" s="16">
        <v>0</v>
      </c>
      <c r="F5" s="16">
        <v>0</v>
      </c>
      <c r="G5" s="16">
        <v>0</v>
      </c>
      <c r="H5" s="16">
        <f t="shared" ref="H5:H12" si="0">(E5*F5)+G5</f>
        <v>0</v>
      </c>
    </row>
    <row r="6" spans="1:10" x14ac:dyDescent="0.35">
      <c r="A6" s="13"/>
      <c r="B6" s="16" t="s">
        <v>14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29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15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7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30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31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32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4" spans="1:10" ht="21.5" customHeight="1" x14ac:dyDescent="0.35">
      <c r="A14" s="19" t="s">
        <v>6</v>
      </c>
      <c r="B14" s="19"/>
      <c r="C14" s="19"/>
      <c r="D14" s="19"/>
      <c r="E14" s="19"/>
      <c r="F14" s="19"/>
      <c r="G14" s="19"/>
      <c r="H14" s="19"/>
      <c r="I14" s="12"/>
    </row>
    <row r="15" spans="1:10" x14ac:dyDescent="0.35">
      <c r="A15" s="1" t="s">
        <v>4</v>
      </c>
      <c r="B15" s="2" t="s">
        <v>20</v>
      </c>
      <c r="C15" s="1" t="s">
        <v>3</v>
      </c>
      <c r="D15" s="1" t="s">
        <v>21</v>
      </c>
      <c r="E15" s="1" t="s">
        <v>22</v>
      </c>
      <c r="F15" s="1" t="s">
        <v>23</v>
      </c>
      <c r="G15" s="1" t="s">
        <v>24</v>
      </c>
      <c r="H15" s="1" t="s">
        <v>0</v>
      </c>
    </row>
    <row r="16" spans="1:10" x14ac:dyDescent="0.35">
      <c r="A16" s="13"/>
      <c r="B16" s="16" t="s">
        <v>33</v>
      </c>
      <c r="C16" s="17"/>
      <c r="D16" s="17"/>
      <c r="E16" s="16">
        <v>0</v>
      </c>
      <c r="F16" s="16">
        <v>0</v>
      </c>
      <c r="G16" s="16">
        <v>0</v>
      </c>
      <c r="H16" s="16">
        <f>(E16*F16)+G16</f>
        <v>0</v>
      </c>
    </row>
    <row r="17" spans="1:9" x14ac:dyDescent="0.35">
      <c r="A17" s="13"/>
      <c r="B17" s="16" t="s">
        <v>34</v>
      </c>
      <c r="C17" s="17"/>
      <c r="D17" s="17"/>
      <c r="E17" s="16">
        <v>0</v>
      </c>
      <c r="F17" s="16">
        <v>0</v>
      </c>
      <c r="G17" s="16">
        <v>0</v>
      </c>
      <c r="H17" s="16">
        <v>0</v>
      </c>
    </row>
    <row r="18" spans="1:9" x14ac:dyDescent="0.35">
      <c r="A18" s="13"/>
      <c r="B18" s="16" t="s">
        <v>35</v>
      </c>
      <c r="C18" s="17"/>
      <c r="D18" s="17"/>
      <c r="E18" s="16">
        <v>0</v>
      </c>
      <c r="F18" s="16">
        <v>0</v>
      </c>
      <c r="G18" s="16">
        <v>0</v>
      </c>
      <c r="H18" s="16">
        <f t="shared" ref="H18:H21" si="1">(E18*F18)+G18</f>
        <v>0</v>
      </c>
    </row>
    <row r="19" spans="1:9" x14ac:dyDescent="0.35">
      <c r="A19" s="13"/>
      <c r="B19" s="16" t="s">
        <v>36</v>
      </c>
      <c r="C19" s="17"/>
      <c r="D19" s="17"/>
      <c r="E19" s="16">
        <v>0</v>
      </c>
      <c r="F19" s="16">
        <v>0</v>
      </c>
      <c r="G19" s="16">
        <v>0</v>
      </c>
      <c r="H19" s="16">
        <v>0</v>
      </c>
    </row>
    <row r="20" spans="1:9" x14ac:dyDescent="0.35">
      <c r="A20" s="13"/>
      <c r="B20" s="16" t="s">
        <v>37</v>
      </c>
      <c r="C20" s="17"/>
      <c r="D20" s="17"/>
      <c r="E20" s="16">
        <v>0</v>
      </c>
      <c r="F20" s="16">
        <v>0</v>
      </c>
      <c r="G20" s="16">
        <v>0</v>
      </c>
      <c r="H20" s="16">
        <f t="shared" si="1"/>
        <v>0</v>
      </c>
    </row>
    <row r="21" spans="1:9" x14ac:dyDescent="0.35">
      <c r="A21" s="13"/>
      <c r="B21" s="16" t="s">
        <v>38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3" spans="1:9" ht="21.5" customHeight="1" x14ac:dyDescent="0.35">
      <c r="A23" s="19" t="s">
        <v>1</v>
      </c>
      <c r="B23" s="19"/>
      <c r="C23" s="19"/>
      <c r="D23" s="19"/>
      <c r="E23" s="19"/>
      <c r="F23" s="19"/>
      <c r="G23" s="19"/>
      <c r="H23" s="19"/>
      <c r="I23" s="19"/>
    </row>
    <row r="24" spans="1:9" x14ac:dyDescent="0.35">
      <c r="A24" s="1" t="s">
        <v>4</v>
      </c>
      <c r="B24" s="2" t="s">
        <v>20</v>
      </c>
      <c r="C24" s="1" t="s">
        <v>3</v>
      </c>
      <c r="D24" s="1" t="s">
        <v>21</v>
      </c>
      <c r="E24" s="1" t="s">
        <v>22</v>
      </c>
      <c r="F24" s="1" t="s">
        <v>23</v>
      </c>
      <c r="G24" s="1" t="s">
        <v>24</v>
      </c>
      <c r="H24" s="1" t="s">
        <v>0</v>
      </c>
      <c r="I24" s="1" t="s">
        <v>26</v>
      </c>
    </row>
    <row r="25" spans="1:9" x14ac:dyDescent="0.35">
      <c r="A25" s="13"/>
      <c r="B25" s="16" t="s">
        <v>11</v>
      </c>
      <c r="C25" s="17"/>
      <c r="D25" s="17"/>
      <c r="E25" s="16">
        <v>0</v>
      </c>
      <c r="F25">
        <v>0</v>
      </c>
      <c r="G25" s="16">
        <v>0</v>
      </c>
      <c r="H25" s="16">
        <f>(E25*F25)+G25</f>
        <v>0</v>
      </c>
      <c r="I25" s="18">
        <f>H25-H4</f>
        <v>0</v>
      </c>
    </row>
    <row r="26" spans="1:9" x14ac:dyDescent="0.35">
      <c r="A26" s="13"/>
      <c r="B26" s="16" t="s">
        <v>12</v>
      </c>
      <c r="C26" s="17"/>
      <c r="D26" s="16"/>
      <c r="E26" s="16">
        <v>0</v>
      </c>
      <c r="F26" s="16">
        <v>0</v>
      </c>
      <c r="G26" s="16">
        <v>0</v>
      </c>
      <c r="H26" s="16">
        <f>(E26*F26)+G26</f>
        <v>0</v>
      </c>
      <c r="I26" s="18">
        <f>H26-H10</f>
        <v>0</v>
      </c>
    </row>
    <row r="27" spans="1:9" x14ac:dyDescent="0.35">
      <c r="A27" s="13"/>
      <c r="B27" s="16" t="s">
        <v>13</v>
      </c>
      <c r="C27" s="17"/>
      <c r="D27" s="16"/>
      <c r="E27" s="16">
        <v>0</v>
      </c>
      <c r="F27" s="16">
        <v>0</v>
      </c>
      <c r="G27" s="16">
        <v>0</v>
      </c>
      <c r="H27" s="16">
        <f t="shared" ref="H27" si="2">(E27*F27)+G27</f>
        <v>0</v>
      </c>
      <c r="I27" s="18">
        <f>H27-H10</f>
        <v>0</v>
      </c>
    </row>
    <row r="28" spans="1:9" x14ac:dyDescent="0.35">
      <c r="A28" s="13"/>
      <c r="B28" s="16" t="s">
        <v>45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:H29" si="3">(E28*F28)+G28</f>
        <v>0</v>
      </c>
      <c r="I28" s="18">
        <f>H28-H11</f>
        <v>0</v>
      </c>
    </row>
    <row r="29" spans="1:9" x14ac:dyDescent="0.35">
      <c r="A29" s="13"/>
      <c r="B29" s="16" t="s">
        <v>46</v>
      </c>
      <c r="C29" s="17"/>
      <c r="D29" s="16"/>
      <c r="E29" s="16">
        <v>0</v>
      </c>
      <c r="F29" s="16">
        <v>0</v>
      </c>
      <c r="G29" s="16">
        <v>0</v>
      </c>
      <c r="H29" s="16">
        <f t="shared" si="3"/>
        <v>0</v>
      </c>
      <c r="I29" s="18">
        <f>H29-H12</f>
        <v>0</v>
      </c>
    </row>
    <row r="30" spans="1:9" x14ac:dyDescent="0.35">
      <c r="C30" s="4"/>
      <c r="I30" s="5"/>
    </row>
    <row r="31" spans="1:9" x14ac:dyDescent="0.35">
      <c r="C31" s="4"/>
      <c r="I31" s="5"/>
    </row>
    <row r="32" spans="1:9" ht="20.5" customHeight="1" x14ac:dyDescent="0.35">
      <c r="A32" s="23" t="s">
        <v>39</v>
      </c>
      <c r="B32" s="23"/>
      <c r="C32" s="23"/>
      <c r="D32" s="23"/>
      <c r="F32" s="20" t="s">
        <v>44</v>
      </c>
      <c r="G32" s="21"/>
      <c r="H32" s="21"/>
      <c r="I32" s="22"/>
    </row>
    <row r="33" spans="1:9" ht="20.5" customHeight="1" x14ac:dyDescent="0.35">
      <c r="A33" s="6" t="s">
        <v>8</v>
      </c>
      <c r="B33" s="6">
        <f>SUM(H4:H12)</f>
        <v>0</v>
      </c>
      <c r="C33" s="34">
        <f>B36-B37</f>
        <v>0</v>
      </c>
      <c r="D33" s="34"/>
      <c r="F33" s="7"/>
      <c r="G33" s="31" t="s">
        <v>40</v>
      </c>
      <c r="H33" s="32"/>
      <c r="I33" s="33"/>
    </row>
    <row r="34" spans="1:9" ht="20.5" customHeight="1" x14ac:dyDescent="0.35">
      <c r="A34" s="6" t="s">
        <v>9</v>
      </c>
      <c r="B34" s="6">
        <f>SUM(H16:H21)</f>
        <v>0</v>
      </c>
      <c r="C34" s="34"/>
      <c r="D34" s="34"/>
      <c r="F34" s="8"/>
      <c r="G34" s="31" t="s">
        <v>41</v>
      </c>
      <c r="H34" s="32"/>
      <c r="I34" s="33"/>
    </row>
    <row r="35" spans="1:9" ht="20.5" customHeight="1" x14ac:dyDescent="0.35">
      <c r="A35" s="6" t="s">
        <v>10</v>
      </c>
      <c r="B35" s="6">
        <f>SUM(H25:H29)</f>
        <v>0</v>
      </c>
      <c r="C35" s="34"/>
      <c r="D35" s="34"/>
      <c r="F35" s="9"/>
      <c r="G35" s="31" t="s">
        <v>42</v>
      </c>
      <c r="H35" s="32"/>
      <c r="I35" s="33"/>
    </row>
    <row r="36" spans="1:9" ht="20.5" customHeight="1" x14ac:dyDescent="0.35">
      <c r="A36" s="3" t="s">
        <v>2</v>
      </c>
      <c r="B36" s="3">
        <f>B33+B34+B35</f>
        <v>0</v>
      </c>
      <c r="C36" s="34"/>
      <c r="D36" s="34"/>
      <c r="F36" s="10"/>
      <c r="G36" s="31" t="s">
        <v>43</v>
      </c>
      <c r="H36" s="32"/>
      <c r="I36" s="33"/>
    </row>
    <row r="37" spans="1:9" ht="20" customHeight="1" x14ac:dyDescent="0.35">
      <c r="A37" s="6" t="s">
        <v>5</v>
      </c>
      <c r="B37" s="6">
        <v>0</v>
      </c>
      <c r="C37" s="34"/>
      <c r="D37" s="34"/>
    </row>
    <row r="38" spans="1:9" ht="20.5" customHeight="1" x14ac:dyDescent="0.35"/>
    <row r="39" spans="1:9" ht="20.5" customHeight="1" x14ac:dyDescent="0.35">
      <c r="B39" s="14" t="s">
        <v>19</v>
      </c>
      <c r="C39" s="15" t="s">
        <v>17</v>
      </c>
    </row>
    <row r="40" spans="1:9" ht="20.5" customHeight="1" x14ac:dyDescent="0.35">
      <c r="B40" s="15" t="s">
        <v>18</v>
      </c>
    </row>
  </sheetData>
  <mergeCells count="12">
    <mergeCell ref="G36:I36"/>
    <mergeCell ref="G34:I34"/>
    <mergeCell ref="G35:I35"/>
    <mergeCell ref="G33:I33"/>
    <mergeCell ref="C33:D37"/>
    <mergeCell ref="A14:H14"/>
    <mergeCell ref="F32:I32"/>
    <mergeCell ref="A32:D32"/>
    <mergeCell ref="A1:H1"/>
    <mergeCell ref="A2:B2"/>
    <mergeCell ref="C2:H2"/>
    <mergeCell ref="A23:I23"/>
  </mergeCells>
  <hyperlinks>
    <hyperlink ref="C39" r:id="rId1" xr:uid="{5ACE79AC-C4D3-4369-9A50-83248646C37E}"/>
    <hyperlink ref="B40" r:id="rId2" xr:uid="{12A6037E-86C9-4725-89EE-1D861E2C5CBA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24</xdr:row>
                    <xdr:rowOff>12700</xdr:rowOff>
                  </from>
                  <to>
                    <xdr:col>4</xdr:col>
                    <xdr:colOff>184150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8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9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0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7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15</xdr:row>
                    <xdr:rowOff>12700</xdr:rowOff>
                  </from>
                  <to>
                    <xdr:col>4</xdr:col>
                    <xdr:colOff>184150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8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9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12700</xdr:rowOff>
                  </from>
                  <to>
                    <xdr:col>4</xdr:col>
                    <xdr:colOff>184150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0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1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2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3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19050</xdr:rowOff>
                  </from>
                  <to>
                    <xdr:col>4</xdr:col>
                    <xdr:colOff>184150</xdr:colOff>
                    <xdr:row>17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4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CONFIG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2024-07-18T11:37:15Z</cp:lastPrinted>
  <dcterms:created xsi:type="dcterms:W3CDTF">2024-07-18T08:29:58Z</dcterms:created>
  <dcterms:modified xsi:type="dcterms:W3CDTF">2024-07-18T11:37:59Z</dcterms:modified>
</cp:coreProperties>
</file>